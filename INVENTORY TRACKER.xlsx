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 - PC\RF Advisory\"/>
    </mc:Choice>
  </mc:AlternateContent>
  <xr:revisionPtr revIDLastSave="0" documentId="13_ncr:1_{CC01FF85-1DDB-4E39-8068-5418B504F7DF}" xr6:coauthVersionLast="47" xr6:coauthVersionMax="47" xr10:uidLastSave="{00000000-0000-0000-0000-000000000000}"/>
  <bookViews>
    <workbookView xWindow="-120" yWindow="-120" windowWidth="20730" windowHeight="11040" activeTab="2" xr2:uid="{D978FF51-70D4-40FF-8CC9-6DF1CA6B73C8}"/>
  </bookViews>
  <sheets>
    <sheet name="Sales" sheetId="1" r:id="rId1"/>
    <sheet name="Purchases" sheetId="2" r:id="rId2"/>
    <sheet name="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B7" i="3"/>
  <c r="B8" i="3"/>
  <c r="C8" i="3"/>
  <c r="C4" i="3"/>
  <c r="C5" i="3"/>
  <c r="D5" i="3" s="1"/>
  <c r="C6" i="3"/>
  <c r="D6" i="3" s="1"/>
  <c r="C3" i="3"/>
  <c r="D3" i="3" s="1"/>
  <c r="B5" i="3"/>
  <c r="B4" i="3"/>
  <c r="B3" i="3"/>
  <c r="B6" i="3"/>
  <c r="F8" i="2"/>
  <c r="F4" i="1"/>
  <c r="F5" i="1"/>
  <c r="F6" i="1"/>
  <c r="F7" i="1"/>
  <c r="F8" i="1"/>
  <c r="F9" i="1"/>
  <c r="F10" i="1"/>
  <c r="F11" i="1"/>
  <c r="F12" i="1"/>
  <c r="F13" i="1"/>
  <c r="F3" i="1"/>
  <c r="F3" i="2"/>
  <c r="F4" i="2"/>
  <c r="F5" i="2"/>
  <c r="F6" i="2"/>
  <c r="F7" i="2"/>
  <c r="F9" i="2"/>
  <c r="F10" i="2"/>
  <c r="F11" i="2"/>
  <c r="F12" i="2"/>
  <c r="F13" i="2"/>
  <c r="D4" i="3" l="1"/>
  <c r="D7" i="3"/>
  <c r="D8" i="3"/>
</calcChain>
</file>

<file path=xl/sharedStrings.xml><?xml version="1.0" encoding="utf-8"?>
<sst xmlns="http://schemas.openxmlformats.org/spreadsheetml/2006/main" count="31" uniqueCount="18">
  <si>
    <t>Invoice No.</t>
  </si>
  <si>
    <t>CODE</t>
  </si>
  <si>
    <t>A01 - Flats</t>
  </si>
  <si>
    <t>A01 - Coat Shoe</t>
  </si>
  <si>
    <t>A02 - Shoe</t>
  </si>
  <si>
    <t>A05 - LV Shoe</t>
  </si>
  <si>
    <t>Available QTY</t>
  </si>
  <si>
    <t>Date of Sale</t>
  </si>
  <si>
    <t>Item Code</t>
  </si>
  <si>
    <t>Qty</t>
  </si>
  <si>
    <t>Unit Value</t>
  </si>
  <si>
    <t>Date of Purchase</t>
  </si>
  <si>
    <t>QTY -Sold</t>
  </si>
  <si>
    <t>QTY - Purchased</t>
  </si>
  <si>
    <t>Total Value</t>
  </si>
  <si>
    <t>Sales</t>
  </si>
  <si>
    <t>Purchases</t>
  </si>
  <si>
    <t>Current Inventory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</si>
</sst>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43" fontId="0" fillId="0" borderId="6" xfId="1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9" xfId="1" applyFont="1" applyBorder="1" applyAlignment="1">
      <alignment horizontal="left" vertical="center" indent="1"/>
    </xf>
    <xf numFmtId="43" fontId="0" fillId="0" borderId="0" xfId="1" applyFont="1"/>
    <xf numFmtId="43" fontId="0" fillId="0" borderId="2" xfId="0" applyNumberFormat="1" applyBorder="1"/>
    <xf numFmtId="43" fontId="0" fillId="0" borderId="5" xfId="0" applyNumberFormat="1" applyBorder="1"/>
    <xf numFmtId="43" fontId="0" fillId="0" borderId="8" xfId="0" applyNumberFormat="1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9">
    <dxf>
      <numFmt numFmtId="165" formatCode="dd/mm/yyyy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dd/mm/yyyy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3" defaultTableStyle="TableStyleMedium2" defaultPivotStyle="PivotStyleLight16">
    <tableStyle name="InventoryTable" pivot="0" count="7" xr9:uid="{3B2FDC23-8CBB-4D80-8E5B-68F47CCC4498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  <tableStyle name="InventoryTable 2" pivot="0" count="7" xr9:uid="{83F4D666-F3E2-4F29-91CA-74986D509FAE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InventoryTable 3" pivot="0" count="7" xr9:uid="{A754E164-C67A-4B29-97C3-F76D98350186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5B22D-F4E5-46FB-B202-D3758241BCD2}" name="Table3" displayName="Table3" ref="A2:F13" totalsRowShown="0" headerRowDxfId="17" headerRowBorderDxfId="24" tableBorderDxfId="25" totalsRowBorderDxfId="23">
  <autoFilter ref="A2:F13" xr:uid="{0EB5B22D-F4E5-46FB-B202-D3758241BCD2}"/>
  <tableColumns count="6">
    <tableColumn id="1" xr3:uid="{5207CA10-1C93-4BAA-AB7A-C85DD7A6F3FB}" name="Invoice No." dataDxfId="3"/>
    <tableColumn id="2" xr3:uid="{15D5F32A-4481-4072-AB7C-2CD07FAE284C}" name="Date of Sale" dataDxfId="1"/>
    <tableColumn id="3" xr3:uid="{F7691B7A-E380-4595-82A8-6B04B9513F5B}" name="Item Code" dataDxfId="41"/>
    <tableColumn id="4" xr3:uid="{CCA81855-A0DB-468F-9D8E-6A93734E50B9}" name="Qty" dataDxfId="6"/>
    <tableColumn id="5" xr3:uid="{67453187-5AC2-44C6-8286-A7E53B52A877}" name="Unit Value" dataDxfId="40" dataCellStyle="Comma"/>
    <tableColumn id="6" xr3:uid="{2D13E9B4-C456-483B-B2E8-001BF037CACC}" name="Total Value" dataDxfId="4" dataCellStyle="Comma">
      <calculatedColumnFormula>Table3[[#This Row],[Qty]]*Table3[[#This Row],[Unit Value]]</calculatedColumnFormula>
    </tableColumn>
  </tableColumns>
  <tableStyleInfo name="Inventory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19808F-A27B-4BDC-B3EF-A5294B5B0DF3}" name="Table35" displayName="Table35" ref="A2:F13" totalsRowShown="0" headerRowDxfId="16" headerRowBorderDxfId="21" tableBorderDxfId="22" totalsRowBorderDxfId="20">
  <autoFilter ref="A2:F13" xr:uid="{FD19808F-A27B-4BDC-B3EF-A5294B5B0DF3}"/>
  <tableColumns count="6">
    <tableColumn id="1" xr3:uid="{D3FE0082-CD74-4E9C-8C8F-0CE09E6D76D2}" name="Invoice No." dataDxfId="2"/>
    <tableColumn id="2" xr3:uid="{2809DBCA-634F-43A6-AC27-B32E4E00563F}" name="Date of Purchase" dataDxfId="0"/>
    <tableColumn id="3" xr3:uid="{24289916-94D3-483D-A13B-4D0068A6459E}" name="Item Code" dataDxfId="19"/>
    <tableColumn id="4" xr3:uid="{D657BBBB-6F9B-4874-B756-4F1E801E9304}" name="Qty" dataDxfId="7"/>
    <tableColumn id="5" xr3:uid="{5B82B1B4-E1E3-44E8-AC60-0B38D4E95BC0}" name="Unit Value" dataDxfId="18"/>
    <tableColumn id="6" xr3:uid="{958B6194-AF27-44D6-A985-5172767FCD18}" name="Total Value" dataDxfId="5">
      <calculatedColumnFormula>Table35[[#This Row],[Qty]]*Table35[[#This Row],[Unit Value]]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238E3D-9B0A-44BD-A2B4-B056D4A96BD3}" name="Table2" displayName="Table2" ref="A2:D8" totalsRowShown="0" headerRowDxfId="8" headerRowBorderDxfId="10" tableBorderDxfId="11" totalsRowBorderDxfId="9">
  <autoFilter ref="A2:D8" xr:uid="{83238E3D-9B0A-44BD-A2B4-B056D4A96BD3}"/>
  <tableColumns count="4">
    <tableColumn id="1" xr3:uid="{5221B842-A93D-4B67-B431-FA6C86D455FB}" name="CODE" dataDxfId="15"/>
    <tableColumn id="2" xr3:uid="{F807BDDE-6C30-4428-8A48-45F42E485BF0}" name="QTY - Purchased" dataDxfId="14">
      <calculatedColumnFormula>SUMIFS(Purchases!D:D,Purchases!C:C,Table2[[#This Row],[CODE]])</calculatedColumnFormula>
    </tableColumn>
    <tableColumn id="3" xr3:uid="{37BE23B7-C8EA-4762-875D-7B73913EAB35}" name="QTY -Sold" dataDxfId="13">
      <calculatedColumnFormula>SUMIFS(Sales!D:D,Sales!C:C,Table2[[#This Row],[CODE]])</calculatedColumnFormula>
    </tableColumn>
    <tableColumn id="4" xr3:uid="{5A7AB828-E39F-4405-951B-8292F3482EFB}" name="Available QTY" dataDxfId="12">
      <calculatedColumnFormula>Table2[[#This Row],[QTY - Purchased]]-Table2[[#This Row],[QTY -Sold]]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B32F-DDEA-4CF7-8B64-D7D4037F0B57}">
  <sheetPr>
    <tabColor rgb="FF00B0F0"/>
  </sheetPr>
  <dimension ref="A1:F13"/>
  <sheetViews>
    <sheetView workbookViewId="0">
      <selection activeCell="A6" sqref="A6"/>
    </sheetView>
  </sheetViews>
  <sheetFormatPr defaultRowHeight="15" x14ac:dyDescent="0.25"/>
  <cols>
    <col min="1" max="1" width="14.7109375" style="20" bestFit="1" customWidth="1"/>
    <col min="2" max="2" width="15.5703125" style="20" bestFit="1" customWidth="1"/>
    <col min="3" max="3" width="15.85546875" bestFit="1" customWidth="1"/>
    <col min="4" max="4" width="8.140625" style="20" bestFit="1" customWidth="1"/>
    <col min="5" max="5" width="15" style="22" bestFit="1" customWidth="1"/>
    <col min="6" max="6" width="14.5703125" bestFit="1" customWidth="1"/>
  </cols>
  <sheetData>
    <row r="1" spans="1:6" ht="34.5" customHeight="1" x14ac:dyDescent="0.25">
      <c r="A1" s="28" t="s">
        <v>15</v>
      </c>
      <c r="B1" s="29"/>
      <c r="C1" s="29"/>
      <c r="D1" s="29"/>
      <c r="E1" s="29"/>
      <c r="F1" s="30"/>
    </row>
    <row r="2" spans="1:6" ht="15.75" x14ac:dyDescent="0.25">
      <c r="A2" s="8" t="s">
        <v>0</v>
      </c>
      <c r="B2" s="9" t="s">
        <v>7</v>
      </c>
      <c r="C2" s="9" t="s">
        <v>8</v>
      </c>
      <c r="D2" s="9" t="s">
        <v>9</v>
      </c>
      <c r="E2" s="10" t="s">
        <v>10</v>
      </c>
      <c r="F2" s="9" t="s">
        <v>14</v>
      </c>
    </row>
    <row r="3" spans="1:6" x14ac:dyDescent="0.25">
      <c r="A3" s="26">
        <v>1425</v>
      </c>
      <c r="B3" s="31">
        <v>45682</v>
      </c>
      <c r="C3" s="2" t="s">
        <v>2</v>
      </c>
      <c r="D3" s="14">
        <v>2000</v>
      </c>
      <c r="E3" s="3">
        <v>680</v>
      </c>
      <c r="F3" s="3">
        <f>Table3[[#This Row],[Qty]]*Table3[[#This Row],[Unit Value]]</f>
        <v>1360000</v>
      </c>
    </row>
    <row r="4" spans="1:6" x14ac:dyDescent="0.25">
      <c r="A4" s="26">
        <v>2565</v>
      </c>
      <c r="B4" s="31">
        <v>45682</v>
      </c>
      <c r="C4" s="2" t="s">
        <v>3</v>
      </c>
      <c r="D4" s="14">
        <v>956</v>
      </c>
      <c r="E4" s="3">
        <v>1550</v>
      </c>
      <c r="F4" s="3">
        <f>Table3[[#This Row],[Qty]]*Table3[[#This Row],[Unit Value]]</f>
        <v>1481800</v>
      </c>
    </row>
    <row r="5" spans="1:6" x14ac:dyDescent="0.25">
      <c r="A5" s="26">
        <v>6565</v>
      </c>
      <c r="B5" s="31">
        <v>45682</v>
      </c>
      <c r="C5" s="2" t="s">
        <v>4</v>
      </c>
      <c r="D5" s="14">
        <v>521</v>
      </c>
      <c r="E5" s="3">
        <v>680</v>
      </c>
      <c r="F5" s="3">
        <f>Table3[[#This Row],[Qty]]*Table3[[#This Row],[Unit Value]]</f>
        <v>354280</v>
      </c>
    </row>
    <row r="6" spans="1:6" x14ac:dyDescent="0.25">
      <c r="A6" s="26">
        <v>6656</v>
      </c>
      <c r="B6" s="31">
        <v>45682</v>
      </c>
      <c r="C6" s="2" t="s">
        <v>5</v>
      </c>
      <c r="D6" s="14">
        <v>1423</v>
      </c>
      <c r="E6" s="3">
        <v>780</v>
      </c>
      <c r="F6" s="3">
        <f>Table3[[#This Row],[Qty]]*Table3[[#This Row],[Unit Value]]</f>
        <v>1109940</v>
      </c>
    </row>
    <row r="7" spans="1:6" x14ac:dyDescent="0.25">
      <c r="A7" s="26"/>
      <c r="B7" s="31"/>
      <c r="C7" s="2"/>
      <c r="D7" s="14"/>
      <c r="E7" s="3"/>
      <c r="F7" s="3">
        <f>Table3[[#This Row],[Qty]]*Table3[[#This Row],[Unit Value]]</f>
        <v>0</v>
      </c>
    </row>
    <row r="8" spans="1:6" x14ac:dyDescent="0.25">
      <c r="A8" s="26"/>
      <c r="B8" s="31"/>
      <c r="C8" s="2"/>
      <c r="D8" s="14"/>
      <c r="E8" s="3"/>
      <c r="F8" s="3">
        <f>Table3[[#This Row],[Qty]]*Table3[[#This Row],[Unit Value]]</f>
        <v>0</v>
      </c>
    </row>
    <row r="9" spans="1:6" x14ac:dyDescent="0.25">
      <c r="A9" s="26"/>
      <c r="B9" s="31"/>
      <c r="C9" s="2"/>
      <c r="D9" s="14"/>
      <c r="E9" s="3"/>
      <c r="F9" s="3">
        <f>Table3[[#This Row],[Qty]]*Table3[[#This Row],[Unit Value]]</f>
        <v>0</v>
      </c>
    </row>
    <row r="10" spans="1:6" x14ac:dyDescent="0.25">
      <c r="A10" s="26"/>
      <c r="B10" s="31"/>
      <c r="C10" s="2"/>
      <c r="D10" s="14"/>
      <c r="E10" s="3"/>
      <c r="F10" s="3">
        <f>Table3[[#This Row],[Qty]]*Table3[[#This Row],[Unit Value]]</f>
        <v>0</v>
      </c>
    </row>
    <row r="11" spans="1:6" x14ac:dyDescent="0.25">
      <c r="A11" s="26"/>
      <c r="B11" s="31"/>
      <c r="C11" s="2"/>
      <c r="D11" s="14"/>
      <c r="E11" s="3"/>
      <c r="F11" s="3">
        <f>Table3[[#This Row],[Qty]]*Table3[[#This Row],[Unit Value]]</f>
        <v>0</v>
      </c>
    </row>
    <row r="12" spans="1:6" x14ac:dyDescent="0.25">
      <c r="A12" s="26"/>
      <c r="B12" s="31"/>
      <c r="C12" s="2"/>
      <c r="D12" s="14"/>
      <c r="E12" s="3"/>
      <c r="F12" s="3">
        <f>Table3[[#This Row],[Qty]]*Table3[[#This Row],[Unit Value]]</f>
        <v>0</v>
      </c>
    </row>
    <row r="13" spans="1:6" x14ac:dyDescent="0.25">
      <c r="A13" s="27"/>
      <c r="B13" s="32"/>
      <c r="C13" s="6"/>
      <c r="D13" s="16"/>
      <c r="E13" s="21"/>
      <c r="F13" s="3">
        <f>Table3[[#This Row],[Qty]]*Table3[[#This Row],[Unit Value]]</f>
        <v>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D73-C8F5-452A-A609-96A30401EE4A}">
  <sheetPr>
    <tabColor theme="9" tint="0.39997558519241921"/>
  </sheetPr>
  <dimension ref="A1:F13"/>
  <sheetViews>
    <sheetView workbookViewId="0">
      <selection activeCell="A4" sqref="A4"/>
    </sheetView>
  </sheetViews>
  <sheetFormatPr defaultRowHeight="15" x14ac:dyDescent="0.25"/>
  <cols>
    <col min="1" max="1" width="14.7109375" style="20" bestFit="1" customWidth="1"/>
    <col min="2" max="2" width="20.140625" style="20" bestFit="1" customWidth="1"/>
    <col min="3" max="3" width="15.85546875" bestFit="1" customWidth="1"/>
    <col min="4" max="4" width="9.140625" style="20"/>
    <col min="5" max="5" width="13.7109375" bestFit="1" customWidth="1"/>
    <col min="6" max="6" width="15.85546875" bestFit="1" customWidth="1"/>
  </cols>
  <sheetData>
    <row r="1" spans="1:6" ht="34.5" customHeight="1" x14ac:dyDescent="0.25">
      <c r="A1" s="28" t="s">
        <v>16</v>
      </c>
      <c r="B1" s="29"/>
      <c r="C1" s="29"/>
      <c r="D1" s="29"/>
      <c r="E1" s="29"/>
      <c r="F1" s="30"/>
    </row>
    <row r="2" spans="1:6" ht="15.75" x14ac:dyDescent="0.25">
      <c r="A2" s="11" t="s">
        <v>0</v>
      </c>
      <c r="B2" s="12" t="s">
        <v>11</v>
      </c>
      <c r="C2" s="12" t="s">
        <v>8</v>
      </c>
      <c r="D2" s="12" t="s">
        <v>9</v>
      </c>
      <c r="E2" s="13" t="s">
        <v>10</v>
      </c>
      <c r="F2" s="12" t="s">
        <v>14</v>
      </c>
    </row>
    <row r="3" spans="1:6" x14ac:dyDescent="0.25">
      <c r="A3" s="26">
        <v>11</v>
      </c>
      <c r="B3" s="31">
        <v>45686</v>
      </c>
      <c r="C3" s="2" t="s">
        <v>2</v>
      </c>
      <c r="D3" s="14">
        <v>2500</v>
      </c>
      <c r="E3" s="3">
        <v>980</v>
      </c>
      <c r="F3" s="23">
        <f>Table35[[#This Row],[Qty]]*Table35[[#This Row],[Unit Value]]</f>
        <v>2450000</v>
      </c>
    </row>
    <row r="4" spans="1:6" x14ac:dyDescent="0.25">
      <c r="A4" s="26">
        <v>12</v>
      </c>
      <c r="B4" s="31">
        <v>45686</v>
      </c>
      <c r="C4" s="2" t="s">
        <v>3</v>
      </c>
      <c r="D4" s="14">
        <v>1000</v>
      </c>
      <c r="E4" s="3">
        <v>1950</v>
      </c>
      <c r="F4" s="24">
        <f>Table35[[#This Row],[Qty]]*Table35[[#This Row],[Unit Value]]</f>
        <v>1950000</v>
      </c>
    </row>
    <row r="5" spans="1:6" x14ac:dyDescent="0.25">
      <c r="A5" s="26">
        <v>13</v>
      </c>
      <c r="B5" s="31">
        <v>45686</v>
      </c>
      <c r="C5" s="2" t="s">
        <v>4</v>
      </c>
      <c r="D5" s="14">
        <v>562</v>
      </c>
      <c r="E5" s="3">
        <v>1280</v>
      </c>
      <c r="F5" s="24">
        <f>Table35[[#This Row],[Qty]]*Table35[[#This Row],[Unit Value]]</f>
        <v>719360</v>
      </c>
    </row>
    <row r="6" spans="1:6" x14ac:dyDescent="0.25">
      <c r="A6" s="26">
        <v>14</v>
      </c>
      <c r="B6" s="31">
        <v>45686</v>
      </c>
      <c r="C6" s="2" t="s">
        <v>5</v>
      </c>
      <c r="D6" s="14">
        <v>1500</v>
      </c>
      <c r="E6" s="3">
        <v>1480</v>
      </c>
      <c r="F6" s="24">
        <f>Table35[[#This Row],[Qty]]*Table35[[#This Row],[Unit Value]]</f>
        <v>2220000</v>
      </c>
    </row>
    <row r="7" spans="1:6" x14ac:dyDescent="0.25">
      <c r="A7" s="26"/>
      <c r="B7" s="31"/>
      <c r="C7" s="2"/>
      <c r="D7" s="14"/>
      <c r="E7" s="4"/>
      <c r="F7" s="24">
        <f>Table35[[#This Row],[Qty]]*Table35[[#This Row],[Unit Value]]</f>
        <v>0</v>
      </c>
    </row>
    <row r="8" spans="1:6" x14ac:dyDescent="0.25">
      <c r="A8" s="26"/>
      <c r="B8" s="31"/>
      <c r="C8" s="2"/>
      <c r="D8" s="14"/>
      <c r="E8" s="4"/>
      <c r="F8" s="24">
        <f>Table35[[#This Row],[Qty]]*Table35[[#This Row],[Unit Value]]</f>
        <v>0</v>
      </c>
    </row>
    <row r="9" spans="1:6" x14ac:dyDescent="0.25">
      <c r="A9" s="26"/>
      <c r="B9" s="31"/>
      <c r="C9" s="2"/>
      <c r="D9" s="14"/>
      <c r="E9" s="4"/>
      <c r="F9" s="24">
        <f>Table35[[#This Row],[Qty]]*Table35[[#This Row],[Unit Value]]</f>
        <v>0</v>
      </c>
    </row>
    <row r="10" spans="1:6" x14ac:dyDescent="0.25">
      <c r="A10" s="26"/>
      <c r="B10" s="31"/>
      <c r="C10" s="2"/>
      <c r="D10" s="14"/>
      <c r="E10" s="4"/>
      <c r="F10" s="24">
        <f>Table35[[#This Row],[Qty]]*Table35[[#This Row],[Unit Value]]</f>
        <v>0</v>
      </c>
    </row>
    <row r="11" spans="1:6" x14ac:dyDescent="0.25">
      <c r="A11" s="26"/>
      <c r="B11" s="31"/>
      <c r="C11" s="2"/>
      <c r="D11" s="14"/>
      <c r="E11" s="4"/>
      <c r="F11" s="24">
        <f>Table35[[#This Row],[Qty]]*Table35[[#This Row],[Unit Value]]</f>
        <v>0</v>
      </c>
    </row>
    <row r="12" spans="1:6" x14ac:dyDescent="0.25">
      <c r="A12" s="26"/>
      <c r="B12" s="31"/>
      <c r="C12" s="2"/>
      <c r="D12" s="14"/>
      <c r="E12" s="4"/>
      <c r="F12" s="24">
        <f>Table35[[#This Row],[Qty]]*Table35[[#This Row],[Unit Value]]</f>
        <v>0</v>
      </c>
    </row>
    <row r="13" spans="1:6" x14ac:dyDescent="0.25">
      <c r="A13" s="27"/>
      <c r="B13" s="32"/>
      <c r="C13" s="6"/>
      <c r="D13" s="16"/>
      <c r="E13" s="7"/>
      <c r="F13" s="25">
        <f>Table35[[#This Row],[Qty]]*Table35[[#This Row],[Unit Value]]</f>
        <v>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6035-F14F-4C8F-9875-60CDCFF7869B}">
  <sheetPr>
    <tabColor rgb="FFFFC000"/>
  </sheetPr>
  <dimension ref="A1:D8"/>
  <sheetViews>
    <sheetView tabSelected="1" workbookViewId="0">
      <selection activeCell="A6" sqref="A6"/>
    </sheetView>
  </sheetViews>
  <sheetFormatPr defaultRowHeight="15" x14ac:dyDescent="0.25"/>
  <cols>
    <col min="1" max="1" width="19" customWidth="1"/>
    <col min="2" max="2" width="20.28515625" bestFit="1" customWidth="1"/>
    <col min="3" max="3" width="17.7109375" customWidth="1"/>
    <col min="4" max="4" width="17.85546875" customWidth="1"/>
  </cols>
  <sheetData>
    <row r="1" spans="1:4" ht="26.25" customHeight="1" x14ac:dyDescent="0.25">
      <c r="A1" s="28" t="s">
        <v>17</v>
      </c>
      <c r="B1" s="29"/>
      <c r="C1" s="29"/>
      <c r="D1" s="30"/>
    </row>
    <row r="2" spans="1:4" x14ac:dyDescent="0.25">
      <c r="A2" s="17" t="s">
        <v>1</v>
      </c>
      <c r="B2" s="18" t="s">
        <v>13</v>
      </c>
      <c r="C2" s="18" t="s">
        <v>12</v>
      </c>
      <c r="D2" s="19" t="s">
        <v>6</v>
      </c>
    </row>
    <row r="3" spans="1:4" x14ac:dyDescent="0.25">
      <c r="A3" s="1" t="s">
        <v>2</v>
      </c>
      <c r="B3" s="14">
        <f>SUMIFS(Purchases!D:D,Purchases!C:C,Table2[[#This Row],[CODE]])</f>
        <v>2500</v>
      </c>
      <c r="C3" s="14">
        <f>SUMIFS(Sales!D:D,Sales!C:C,Table2[[#This Row],[CODE]])</f>
        <v>2000</v>
      </c>
      <c r="D3" s="15">
        <f>Table2[[#This Row],[QTY - Purchased]]-Table2[[#This Row],[QTY -Sold]]</f>
        <v>500</v>
      </c>
    </row>
    <row r="4" spans="1:4" x14ac:dyDescent="0.25">
      <c r="A4" s="1" t="s">
        <v>3</v>
      </c>
      <c r="B4" s="14">
        <f>SUMIFS(Purchases!D:D,Purchases!C:C,Table2[[#This Row],[CODE]])</f>
        <v>1000</v>
      </c>
      <c r="C4" s="14">
        <f>SUMIFS(Sales!D:D,Sales!C:C,Table2[[#This Row],[CODE]])</f>
        <v>956</v>
      </c>
      <c r="D4" s="15">
        <f>Table2[[#This Row],[QTY - Purchased]]-Table2[[#This Row],[QTY -Sold]]</f>
        <v>44</v>
      </c>
    </row>
    <row r="5" spans="1:4" x14ac:dyDescent="0.25">
      <c r="A5" s="1" t="s">
        <v>4</v>
      </c>
      <c r="B5" s="14">
        <f>SUMIFS(Purchases!D:D,Purchases!C:C,Table2[[#This Row],[CODE]])</f>
        <v>562</v>
      </c>
      <c r="C5" s="14">
        <f>SUMIFS(Sales!D:D,Sales!C:C,Table2[[#This Row],[CODE]])</f>
        <v>521</v>
      </c>
      <c r="D5" s="15">
        <f>Table2[[#This Row],[QTY - Purchased]]-Table2[[#This Row],[QTY -Sold]]</f>
        <v>41</v>
      </c>
    </row>
    <row r="6" spans="1:4" x14ac:dyDescent="0.25">
      <c r="A6" s="1" t="s">
        <v>5</v>
      </c>
      <c r="B6" s="14">
        <f>SUMIFS(Purchases!D:D,Purchases!C:C,Table2[[#This Row],[CODE]])</f>
        <v>1500</v>
      </c>
      <c r="C6" s="14">
        <f>SUMIFS(Sales!D:D,Sales!C:C,Table2[[#This Row],[CODE]])</f>
        <v>1423</v>
      </c>
      <c r="D6" s="15">
        <f>Table2[[#This Row],[QTY - Purchased]]-Table2[[#This Row],[QTY -Sold]]</f>
        <v>77</v>
      </c>
    </row>
    <row r="7" spans="1:4" x14ac:dyDescent="0.25">
      <c r="A7" s="5"/>
      <c r="B7" s="14">
        <f>SUMIFS(Purchases!D:D,Purchases!C:C,Table2[[#This Row],[CODE]])</f>
        <v>0</v>
      </c>
      <c r="C7" s="14">
        <f>SUMIFS(Sales!D:D,Sales!C:C,Table2[[#This Row],[CODE]])</f>
        <v>0</v>
      </c>
      <c r="D7" s="15">
        <f>Table2[[#This Row],[QTY - Purchased]]-Table2[[#This Row],[QTY -Sold]]</f>
        <v>0</v>
      </c>
    </row>
    <row r="8" spans="1:4" x14ac:dyDescent="0.25">
      <c r="A8" s="5"/>
      <c r="B8" s="14">
        <f>SUMIFS(Purchases!D:D,Purchases!C:C,Table2[[#This Row],[CODE]])</f>
        <v>0</v>
      </c>
      <c r="C8" s="14">
        <f>SUMIFS(Sales!D:D,Sales!C:C,Table2[[#This Row],[CODE]])</f>
        <v>0</v>
      </c>
      <c r="D8" s="15">
        <f>Table2[[#This Row],[QTY - Purchased]]-Table2[[#This Row],[QTY -Sold]]</f>
        <v>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Purchases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Ravishka Fernando</dc:creator>
  <cp:lastModifiedBy>Ravishka Fernando</cp:lastModifiedBy>
  <dcterms:created xsi:type="dcterms:W3CDTF">2026-09-12T14:22:28Z</dcterms:created>
  <dcterms:modified xsi:type="dcterms:W3CDTF">2026-09-12T16:11:41Z</dcterms:modified>
</cp:coreProperties>
</file>